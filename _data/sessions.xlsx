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5debatten/_data/"/>
    </mc:Choice>
  </mc:AlternateContent>
  <xr:revisionPtr revIDLastSave="0" documentId="13_ncr:1_{85BDF8E1-3D42-C04A-B904-DF7B827C0778}" xr6:coauthVersionLast="47" xr6:coauthVersionMax="47" xr10:uidLastSave="{00000000-0000-0000-0000-000000000000}"/>
  <bookViews>
    <workbookView xWindow="4880" yWindow="500" windowWidth="46320" windowHeight="2830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V7" i="1" s="1"/>
  <c r="T8" i="1"/>
  <c r="T9" i="1"/>
  <c r="T10" i="1"/>
  <c r="T11" i="1"/>
  <c r="T12" i="1"/>
  <c r="T13" i="1"/>
  <c r="T14" i="1"/>
  <c r="T15" i="1"/>
  <c r="T16" i="1"/>
  <c r="T2" i="1"/>
  <c r="S2" i="1"/>
  <c r="P3" i="1"/>
  <c r="Q3" i="1"/>
  <c r="R3" i="1"/>
  <c r="S3" i="1"/>
  <c r="V3" i="1" s="1"/>
  <c r="U3" i="1"/>
  <c r="P4" i="1"/>
  <c r="Q4" i="1" s="1"/>
  <c r="R4" i="1"/>
  <c r="S4" i="1"/>
  <c r="U4" i="1"/>
  <c r="P5" i="1"/>
  <c r="Q5" i="1" s="1"/>
  <c r="R5" i="1"/>
  <c r="S5" i="1"/>
  <c r="U5" i="1"/>
  <c r="P6" i="1"/>
  <c r="Q6" i="1"/>
  <c r="R6" i="1"/>
  <c r="S6" i="1"/>
  <c r="U6" i="1"/>
  <c r="V6" i="1"/>
  <c r="P7" i="1"/>
  <c r="Q7" i="1"/>
  <c r="R7" i="1"/>
  <c r="S7" i="1"/>
  <c r="U7" i="1"/>
  <c r="P8" i="1"/>
  <c r="Q8" i="1"/>
  <c r="R8" i="1"/>
  <c r="S8" i="1"/>
  <c r="V8" i="1" s="1"/>
  <c r="U8" i="1"/>
  <c r="P9" i="1"/>
  <c r="Q9" i="1"/>
  <c r="R9" i="1"/>
  <c r="S9" i="1"/>
  <c r="U9" i="1"/>
  <c r="P10" i="1"/>
  <c r="Q10" i="1"/>
  <c r="R10" i="1"/>
  <c r="S10" i="1"/>
  <c r="V10" i="1" s="1"/>
  <c r="U10" i="1"/>
  <c r="P11" i="1"/>
  <c r="Q11" i="1"/>
  <c r="R11" i="1"/>
  <c r="S11" i="1"/>
  <c r="V11" i="1" s="1"/>
  <c r="U11" i="1"/>
  <c r="P12" i="1"/>
  <c r="Q12" i="1" s="1"/>
  <c r="R12" i="1"/>
  <c r="S12" i="1"/>
  <c r="V12" i="1" s="1"/>
  <c r="U12" i="1"/>
  <c r="P13" i="1"/>
  <c r="Q13" i="1" s="1"/>
  <c r="R13" i="1"/>
  <c r="S13" i="1"/>
  <c r="U13" i="1"/>
  <c r="P14" i="1"/>
  <c r="Q14" i="1"/>
  <c r="R14" i="1"/>
  <c r="S14" i="1"/>
  <c r="V14" i="1" s="1"/>
  <c r="U14" i="1"/>
  <c r="P15" i="1"/>
  <c r="Q15" i="1"/>
  <c r="R15" i="1"/>
  <c r="S15" i="1"/>
  <c r="V15" i="1" s="1"/>
  <c r="U15" i="1"/>
  <c r="P16" i="1"/>
  <c r="Q16" i="1"/>
  <c r="R16" i="1"/>
  <c r="S16" i="1"/>
  <c r="U1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V5" i="1" l="1"/>
  <c r="V4" i="1"/>
  <c r="V13" i="1"/>
  <c r="V9" i="1"/>
  <c r="V16" i="1"/>
  <c r="U2" i="1" l="1"/>
  <c r="V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P2" i="1"/>
  <c r="J2" i="1"/>
  <c r="Q2" i="1"/>
  <c r="D2" i="1" l="1"/>
  <c r="R2" i="1" s="1"/>
</calcChain>
</file>

<file path=xl/sharedStrings.xml><?xml version="1.0" encoding="utf-8"?>
<sst xmlns="http://schemas.openxmlformats.org/spreadsheetml/2006/main" count="90" uniqueCount="78">
  <si>
    <t>blank</t>
  </si>
  <si>
    <t>session</t>
  </si>
  <si>
    <t>date</t>
  </si>
  <si>
    <t>filename</t>
  </si>
  <si>
    <t>unit</t>
  </si>
  <si>
    <t>topic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</si>
  <si>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</si>
  <si>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</si>
  <si>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</si>
  <si>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</si>
  <si>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</si>
  <si>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</si>
  <si>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</si>
  <si>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</si>
  <si>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concepts</t>
  </si>
  <si>
    <t>long-topic</t>
  </si>
  <si>
    <t>Aufgabe</t>
  </si>
  <si>
    <t>Rückblick</t>
  </si>
  <si>
    <t>Einführung</t>
  </si>
  <si>
    <t>Heiligkeit, heilige Orte, Rituale</t>
  </si>
  <si>
    <t>Schriftlichkeit</t>
  </si>
  <si>
    <t>Schriftlichkeit, Mündlichkeit, Normativität</t>
  </si>
  <si>
    <t>Hybridität</t>
  </si>
  <si>
    <t>Übergangsriten, Reinheit</t>
  </si>
  <si>
    <t>Heiligkeit, heilige Orte</t>
  </si>
  <si>
    <t>slide-filename</t>
  </si>
  <si>
    <t>slide-frontmatter</t>
  </si>
  <si>
    <t>slide-body1</t>
  </si>
  <si>
    <t>slide-body2</t>
  </si>
  <si>
    <t>slide-content</t>
  </si>
  <si>
    <t>Ibn Taymiyya</t>
  </si>
  <si>
    <t>Abschluss</t>
  </si>
  <si>
    <t>Einführung, Konzeptualisierung, Ziele</t>
  </si>
  <si>
    <t>Was sind Polemiken und wofür sollen sie analysiert werden?</t>
  </si>
  <si>
    <t>Wie wurde in Polemiken über die Bibel diskutiert?</t>
  </si>
  <si>
    <t>Was hat Ibn Hazm über die Bibel geschrieben?</t>
  </si>
  <si>
    <t>Was ist die Argumentationsanalyse?</t>
  </si>
  <si>
    <t>Übung: Argumentationsanalyse von Ibn Hazm mit Close Reading</t>
  </si>
  <si>
    <t>Wie wurde aus jüdischer Seite auf Ibn Hazm geantwortet?</t>
  </si>
  <si>
    <t>Übung: Argumentationsanalyse vom jüdischen Text mit Close Reading</t>
  </si>
  <si>
    <t>Was ist der “Brief aus Zypern”?</t>
  </si>
  <si>
    <t>Wie wurde im Brief aus Zypern über den Koran diskutiert?</t>
  </si>
  <si>
    <t>Übung: Argumentationsanalyse vom Brief aus Zypern mit Close Reading</t>
  </si>
  <si>
    <t>Wer war Ibn Taymiyya? (Gast: Farid Suleima)</t>
  </si>
  <si>
    <t>Wie hat Ibn Taymiyya auf den Brief aus Zypern geantwortet?</t>
  </si>
  <si>
    <t>Rückblick und Lehrevaluation</t>
  </si>
  <si>
    <t>Übung: Argumentationsanalyse von Ibn Taymiyya mit Close Reading</t>
  </si>
  <si>
    <t>Polemiken</t>
  </si>
  <si>
    <t>Bibelkritik</t>
  </si>
  <si>
    <t>Ibn Ḥazm: Text</t>
  </si>
  <si>
    <t>Argumentationsanalyse</t>
  </si>
  <si>
    <t>Ibn Ḥazm: Argumentationsanalyse</t>
  </si>
  <si>
    <t>Salomo ibn Adret: Text</t>
  </si>
  <si>
    <t>Salomo ibn Adret: Argumentationsanalyse</t>
  </si>
  <si>
    <t>Brief aus Zypern</t>
  </si>
  <si>
    <t>Brief aus Zypern: Text</t>
  </si>
  <si>
    <t>Brief aus Zypern: Argumentationsanalyse</t>
  </si>
  <si>
    <t>Ibn Taymiyya: Text</t>
  </si>
  <si>
    <t>Ibn Taymiyya: Argumentationsanalyse</t>
  </si>
  <si>
    <t>andalus-jew-muslim-chess.png</t>
  </si>
  <si>
    <t>argumentation-speech-bubbles.jpg</t>
  </si>
  <si>
    <t>bible-john1-en-ar.jpg</t>
  </si>
  <si>
    <t>cordoba-building.jpg</t>
  </si>
  <si>
    <t>cordoba-synagogue-inscription.jpg</t>
  </si>
  <si>
    <t>ibn-hazm-ring-dove-ms.jpg</t>
  </si>
  <si>
    <t>cyprus-church.jpg</t>
  </si>
  <si>
    <t>quran-stand.jpg</t>
  </si>
  <si>
    <t>speech-bubble.jpg</t>
  </si>
  <si>
    <t>harran-houses.jpg</t>
  </si>
  <si>
    <t>damascus-mosque-gate.jpg</t>
  </si>
  <si>
    <t>argument-hands.jpg</t>
  </si>
  <si>
    <t>cordoba-design.jpg</t>
  </si>
  <si>
    <t>dialog-muslim-christian.jpg</t>
  </si>
  <si>
    <t>damascus-citadel.jpg</t>
  </si>
  <si>
    <t>Muslimisch-jüdischer Austausch</t>
  </si>
  <si>
    <t>Christlich-muslimischer Austausch</t>
  </si>
  <si>
    <t>whittinghamIntroduction2020</t>
  </si>
  <si>
    <t>adangMedievalMuslimPolemics1999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</si>
</sst>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66" formatCode="dd\.mm"/>
  </numFmts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2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164" fontId="3" fillId="0" borderId="1" xfId="0" applyNumberFormat="1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31"/>
  <sheetViews>
    <sheetView tabSelected="1" topLeftCell="B1" zoomScale="142" zoomScaleNormal="140" workbookViewId="0">
      <pane xSplit="6" ySplit="1" topLeftCell="I2" activePane="bottomRight" state="frozen"/>
      <selection activeCell="B1" sqref="B1"/>
      <selection pane="topRight" activeCell="H1" sqref="H1"/>
      <selection pane="bottomLeft" activeCell="B2" sqref="B2"/>
      <selection pane="bottomRight" activeCell="M3" sqref="M3"/>
    </sheetView>
  </sheetViews>
  <sheetFormatPr baseColWidth="10" defaultColWidth="8.83203125" defaultRowHeight="15" x14ac:dyDescent="0.2"/>
  <cols>
    <col min="1" max="1" width="12.5" hidden="1" customWidth="1"/>
    <col min="2" max="2" width="3.5" style="5" customWidth="1"/>
    <col min="3" max="3" width="6.1640625" customWidth="1"/>
    <col min="4" max="4" width="15.33203125" style="6" customWidth="1"/>
    <col min="5" max="5" width="26.83203125" customWidth="1"/>
    <col min="6" max="6" width="36.6640625" customWidth="1"/>
    <col min="7" max="7" width="35.6640625" customWidth="1"/>
    <col min="8" max="8" width="61" customWidth="1"/>
    <col min="9" max="9" width="27.1640625" customWidth="1"/>
    <col min="10" max="10" width="13.1640625" style="5" bestFit="1" customWidth="1"/>
    <col min="11" max="11" width="12.5" bestFit="1" customWidth="1"/>
    <col min="12" max="12" width="31.83203125" bestFit="1" customWidth="1"/>
    <col min="13" max="13" width="16.6640625" bestFit="1" customWidth="1"/>
    <col min="14" max="15" width="77.83203125" customWidth="1"/>
    <col min="16" max="16" width="12.5" bestFit="1" customWidth="1"/>
    <col min="17" max="17" width="12.5" customWidth="1"/>
    <col min="18" max="18" width="32.5" customWidth="1"/>
    <col min="19" max="19" width="39.6640625" customWidth="1"/>
    <col min="20" max="20" width="24.83203125" customWidth="1"/>
  </cols>
  <sheetData>
    <row r="1" spans="1:22" ht="19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14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</v>
      </c>
      <c r="P1" s="1" t="s">
        <v>12</v>
      </c>
      <c r="Q1" s="1" t="s">
        <v>13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ht="18" customHeight="1" x14ac:dyDescent="0.2">
      <c r="B2" s="3">
        <v>1</v>
      </c>
      <c r="C2" s="8">
        <v>45946</v>
      </c>
      <c r="D2" s="4" t="str">
        <f t="shared" ref="D2:D16" si="0">IF(LEN(C2),TEXT(C2, "YYYY-MM-DD") &amp; "-" &amp; B2 &amp; ".md",)</f>
        <v>2025-10-16-1.md</v>
      </c>
      <c r="E2" s="10" t="s">
        <v>18</v>
      </c>
      <c r="F2" s="4" t="s">
        <v>18</v>
      </c>
      <c r="G2" s="4" t="s">
        <v>32</v>
      </c>
      <c r="H2" s="7"/>
      <c r="I2" t="str">
        <f>B2 &amp; ". " &amp; E2 &amp; ": " &amp; F2</f>
        <v>1. Einführung: Einführung</v>
      </c>
      <c r="J2" s="3">
        <f t="shared" ref="J2:J16" si="1">B2</f>
        <v>1</v>
      </c>
      <c r="K2" t="s">
        <v>71</v>
      </c>
      <c r="L2" t="str">
        <f>B2&amp;"-"&amp;_xlfn.REGEXREPLACE(_xlfn.REGEXREPLACE(F2,"[\.\s\-:–]","-"),"\-+","-")</f>
        <v>1-Einführung</v>
      </c>
      <c r="N2" s="9"/>
      <c r="P2" t="str">
        <f t="shared" ref="P2" si="2">"["&amp;B2&amp;"]"</f>
        <v>[1]</v>
      </c>
      <c r="Q2" t="str">
        <f t="shared" ref="Q2" si="3">"---
layout: post
" &amp; B$1 &amp; ": " &amp; B2 &amp; "
" &amp; P$1 &amp; ": " &amp; P2 &amp; "
level: overview
---"</f>
        <v>---
layout: post
session: 1
tags: [1]
level: overview
---</v>
      </c>
      <c r="R2" t="str">
        <f>_xlfn.REGEXREPLACE(D2,"\.md","-slides.md")</f>
        <v>2025-10-16-1-slides.md</v>
      </c>
      <c r="S2" t="str">
        <f>"---
layout: reveal
title: '"&amp;G2&amp;"'
author: 'Rana Alsoufi &amp; Nathan Gibson'
session: "&amp;B2&amp;"
tags: ["&amp;B2&amp;",slides]
category: slides
image: "&amp;K2&amp;"
parallaxBackgroundImage: 'assets/img/"&amp;K2&amp;"'
---
"</f>
        <v xml:space="preserve">---
layout: reveal
title: 'Einführung, Konzeptualisierung, Ziele'
author: 'Rana Alsoufi &amp; Nathan Gibson'
session: 1
tags: [1,slides]
category: slides
image: cordoba-design.jpg
parallaxBackgroundImage: 'assets/img/cordoba-design.jpg'
---
</v>
      </c>
      <c r="T2" t="str">
        <f>"# Interreligiöse Begegnungen und Debatten auf Arabisch vom 11. bis zum 14. Jahrhundert
{: .r-fit-text}
### "&amp;G2&amp;"
Sommersemester 2025
Prof. Dr. Nathan Gibson
## 📈 Rückblick: Lernziel
"&amp;N1&amp;"
## 📈 Rückblick: 
## Projekt
## Einleitung
## Heutiges Lernziel
"&amp;N2</f>
        <v xml:space="preserve"># Interreligiöse Begegnungen und Debatten auf Arabisch vom 11. bis zum 14. Jahrhundert
{: .r-fit-text}
### Einführung, Konzeptualisierung, Ziele
Sommersemester 2025
Prof. Dr. Nathan Gibson
## 📈 Rückblick: Lernziel
objective
## 📈 Rückblick: 
## Projekt
## Einleitung
## Heutiges Lernziel
</v>
      </c>
      <c r="U2" t="str">
        <f>"
## Lektüre
## Diskussion
## Vorschau
"&amp;G3</f>
        <v xml:space="preserve">
## Lektüre
## Diskussion
## Vorschau
Was sind Polemiken und wofür sollen sie analysiert werden?</v>
      </c>
      <c r="V2" t="str">
        <f>_xlfn.CONCAT(S2:U2)</f>
        <v>---
layout: reveal
title: 'Einführung, Konzeptualisierung, Ziele'
author: 'Rana Alsoufi &amp; Nathan Gibson'
session: 1
tags: [1,slides]
category: slides
image: cordoba-design.jpg
parallaxBackgroundImage: 'assets/img/cordoba-design.jpg'
---
# Interreligiöse Begegnungen und Debatten auf Arabisch vom 11. bis zum 14. Jahrhundert
{: .r-fit-text}
### Einführung, Konzeptualisierung, Ziele
Sommersemester 2025
Prof. Dr. Nathan Gibson
## 📈 Rückblick: Lernziel
objective
## 📈 Rückblick: 
## Projekt
## Einleitung
## Heutiges Lernziel
## Lektüre
## Diskussion
## Vorschau
Was sind Polemiken und wofür sollen sie analysiert werden?</v>
      </c>
    </row>
    <row r="3" spans="1:22" ht="18" customHeight="1" x14ac:dyDescent="0.2">
      <c r="B3" s="3">
        <v>2</v>
      </c>
      <c r="C3" s="8">
        <v>45953</v>
      </c>
      <c r="D3" s="4" t="str">
        <f t="shared" si="0"/>
        <v>2025-10-23-2.md</v>
      </c>
      <c r="E3" s="10" t="s">
        <v>18</v>
      </c>
      <c r="F3" s="4" t="s">
        <v>47</v>
      </c>
      <c r="G3" s="4" t="s">
        <v>33</v>
      </c>
      <c r="H3" s="7"/>
      <c r="I3" t="str">
        <f t="shared" ref="I3:I16" si="4">B3 &amp; ". " &amp; E3 &amp; ": " &amp; F3</f>
        <v>2. Einführung: Polemiken</v>
      </c>
      <c r="J3" s="3">
        <f t="shared" si="1"/>
        <v>2</v>
      </c>
      <c r="K3" t="s">
        <v>72</v>
      </c>
      <c r="L3" t="str">
        <f t="shared" ref="L3:L16" si="5">B3&amp;"-"&amp;_xlfn.REGEXREPLACE(_xlfn.REGEXREPLACE(F3,"[\.\s\-:–]","-"),"\-+","-")</f>
        <v>2-Polemiken</v>
      </c>
      <c r="M3" t="s">
        <v>77</v>
      </c>
      <c r="N3" s="9"/>
      <c r="P3" t="str">
        <f t="shared" ref="P3:P16" si="6">"["&amp;B3&amp;"]"</f>
        <v>[2]</v>
      </c>
      <c r="Q3" t="str">
        <f t="shared" ref="Q3:Q16" si="7">"---
layout: post
" &amp; B$1 &amp; ": " &amp; B3 &amp; "
" &amp; P$1 &amp; ": " &amp; P3 &amp; "
level: overview
---"</f>
        <v>---
layout: post
session: 2
tags: [2]
level: overview
---</v>
      </c>
      <c r="R3" t="str">
        <f t="shared" ref="R3:R16" si="8">_xlfn.REGEXREPLACE(D3,"\.md","-slides.md")</f>
        <v>2025-10-23-2-slides.md</v>
      </c>
      <c r="S3" t="str">
        <f t="shared" ref="S3:S16" si="9">"---
layout: reveal
title: '"&amp;G3&amp;"'
author: 'Nathan Gibson'
session: "&amp;B3&amp;"
tags: ["&amp;B3&amp;",slides]
category: slides
image: "&amp;K3&amp;"
parallaxBackgroundImage: 'assets/img/"&amp;K3&amp;"'
---
"</f>
        <v xml:space="preserve">---
layout: reveal
title: 'Was sind Polemiken und wofür sollen sie analysiert werden?'
author: 'Nathan Gibson'
session: 2
tags: [2,slides]
category: slides
image: dialog-muslim-christian.jpg
parallaxBackgroundImage: 'assets/img/dialog-muslim-christian.jpg'
---
</v>
      </c>
      <c r="T3" t="str">
        <f t="shared" ref="T3:T16" si="10">"# Interreligiöse Begegnungen und Debatten auf Arabisch vom 11. bis zum 14. Jahrhundert
{: .r-fit-text}
### "&amp;G3&amp;"
Sommersemester 2025
Prof. Dr. Nathan Gibson
## 📈 Rückblick: Lernziel
"&amp;N2&amp;"
## 📈 Rückblick: 
## Projekt
## Einleitung
## Heutiges Lernziel
"&amp;N3</f>
        <v xml:space="preserve"># Interreligiöse Begegnungen und Debatten auf Arabisch vom 11. bis zum 14. Jahrhundert
{: .r-fit-text}
### Was sind Polemiken und wofür sollen sie analysiert werden?
Sommersemester 2025
Prof. Dr. Nathan Gibson
## 📈 Rückblick: Lernziel
## 📈 Rückblick: 
## Projekt
## Einleitung
## Heutiges Lernziel
</v>
      </c>
      <c r="U3" t="str">
        <f t="shared" ref="U3:U16" si="11">"
## Lektüre
## Diskussion
## Vorschau
"&amp;G4</f>
        <v xml:space="preserve">
## Lektüre
## Diskussion
## Vorschau
Wie wurde in Polemiken über die Bibel diskutiert?</v>
      </c>
      <c r="V3" t="str">
        <f t="shared" ref="V3:V16" si="12">_xlfn.CONCAT(S3:U3)</f>
        <v>---
layout: reveal
title: 'Was sind Polemiken und wofür sollen sie analysiert werden?'
author: 'Nathan Gibson'
session: 2
tags: [2,slides]
category: slides
image: dialog-muslim-christian.jpg
parallaxBackgroundImage: 'assets/img/dialog-muslim-christian.jpg'
---
# Interreligiöse Begegnungen und Debatten auf Arabisch vom 11. bis zum 14. Jahrhundert
{: .r-fit-text}
### Was sind Polemiken und wofür sollen sie analysiert werden?
Sommersemester 2025
Prof. Dr. Nathan Gibson
## 📈 Rückblick: Lernziel
## 📈 Rückblick: 
## Projekt
## Einleitung
## Heutiges Lernziel
## Lektüre
## Diskussion
## Vorschau
Wie wurde in Polemiken über die Bibel diskutiert?</v>
      </c>
    </row>
    <row r="4" spans="1:22" ht="18" customHeight="1" x14ac:dyDescent="0.2">
      <c r="B4" s="3">
        <v>3</v>
      </c>
      <c r="C4" s="8">
        <v>45960</v>
      </c>
      <c r="D4" s="4" t="str">
        <f t="shared" si="0"/>
        <v>2025-10-30-3.md</v>
      </c>
      <c r="E4" s="11" t="s">
        <v>74</v>
      </c>
      <c r="F4" s="4" t="s">
        <v>48</v>
      </c>
      <c r="G4" s="4" t="s">
        <v>34</v>
      </c>
      <c r="H4" s="7" t="s">
        <v>20</v>
      </c>
      <c r="I4" t="str">
        <f t="shared" si="4"/>
        <v>3. Muslimisch-jüdischer Austausch: Bibelkritik</v>
      </c>
      <c r="J4" s="3">
        <f t="shared" si="1"/>
        <v>3</v>
      </c>
      <c r="K4" t="s">
        <v>61</v>
      </c>
      <c r="L4" t="str">
        <f t="shared" si="5"/>
        <v>3-Bibelkritik</v>
      </c>
      <c r="M4" t="s">
        <v>76</v>
      </c>
      <c r="N4" s="9"/>
      <c r="P4" t="str">
        <f t="shared" si="6"/>
        <v>[3]</v>
      </c>
      <c r="Q4" t="str">
        <f t="shared" si="7"/>
        <v>---
layout: post
session: 3
tags: [3]
level: overview
---</v>
      </c>
      <c r="R4" t="str">
        <f t="shared" si="8"/>
        <v>2025-10-30-3-slides.md</v>
      </c>
      <c r="S4" t="str">
        <f t="shared" si="9"/>
        <v xml:space="preserve">---
layout: reveal
title: 'Wie wurde in Polemiken über die Bibel diskutiert?'
author: 'Nathan Gibson'
session: 3
tags: [3,slides]
category: slides
image: bible-john1-en-ar.jpg
parallaxBackgroundImage: 'assets/img/bible-john1-en-ar.jpg'
---
</v>
      </c>
      <c r="T4" t="str">
        <f t="shared" si="10"/>
        <v xml:space="preserve"># Interreligiöse Begegnungen und Debatten auf Arabisch vom 11. bis zum 14. Jahrhundert
{: .r-fit-text}
### Wie wurde in Polemiken über die Bibel diskutiert?
Sommersemester 2025
Prof. Dr. Nathan Gibson
## 📈 Rückblick: Lernziel
## 📈 Rückblick: 
## Projekt
## Einleitung
## Heutiges Lernziel
</v>
      </c>
      <c r="U4" t="str">
        <f t="shared" si="11"/>
        <v xml:space="preserve">
## Lektüre
## Diskussion
## Vorschau
Was hat Ibn Hazm über die Bibel geschrieben?</v>
      </c>
      <c r="V4" t="str">
        <f t="shared" si="12"/>
        <v>---
layout: reveal
title: 'Wie wurde in Polemiken über die Bibel diskutiert?'
author: 'Nathan Gibson'
session: 3
tags: [3,slides]
category: slides
image: bible-john1-en-ar.jpg
parallaxBackgroundImage: 'assets/img/bible-john1-en-ar.jpg'
---
# Interreligiöse Begegnungen und Debatten auf Arabisch vom 11. bis zum 14. Jahrhundert
{: .r-fit-text}
### Wie wurde in Polemiken über die Bibel diskutiert?
Sommersemester 2025
Prof. Dr. Nathan Gibson
## 📈 Rückblick: Lernziel
## 📈 Rückblick: 
## Projekt
## Einleitung
## Heutiges Lernziel
## Lektüre
## Diskussion
## Vorschau
Was hat Ibn Hazm über die Bibel geschrieben?</v>
      </c>
    </row>
    <row r="5" spans="1:22" ht="18" customHeight="1" x14ac:dyDescent="0.2">
      <c r="B5" s="3">
        <v>4</v>
      </c>
      <c r="C5" s="8">
        <v>45967</v>
      </c>
      <c r="D5" s="4" t="str">
        <f t="shared" si="0"/>
        <v>2025-11-06-4.md</v>
      </c>
      <c r="E5" s="11" t="s">
        <v>74</v>
      </c>
      <c r="F5" s="4" t="s">
        <v>49</v>
      </c>
      <c r="G5" s="4" t="s">
        <v>35</v>
      </c>
      <c r="H5" s="7" t="s">
        <v>19</v>
      </c>
      <c r="I5" t="str">
        <f t="shared" si="4"/>
        <v>4. Muslimisch-jüdischer Austausch: Ibn Ḥazm: Text</v>
      </c>
      <c r="J5" s="3">
        <f t="shared" si="1"/>
        <v>4</v>
      </c>
      <c r="K5" t="s">
        <v>64</v>
      </c>
      <c r="L5" t="str">
        <f t="shared" si="5"/>
        <v>4-Ibn-Ḥazm-Text</v>
      </c>
      <c r="N5" s="9"/>
      <c r="P5" t="str">
        <f t="shared" si="6"/>
        <v>[4]</v>
      </c>
      <c r="Q5" t="str">
        <f t="shared" si="7"/>
        <v>---
layout: post
session: 4
tags: [4]
level: overview
---</v>
      </c>
      <c r="R5" t="str">
        <f t="shared" si="8"/>
        <v>2025-11-06-4-slides.md</v>
      </c>
      <c r="S5" t="str">
        <f t="shared" si="9"/>
        <v xml:space="preserve">---
layout: reveal
title: 'Was hat Ibn Hazm über die Bibel geschrieben?'
author: 'Nathan Gibson'
session: 4
tags: [4,slides]
category: slides
image: ibn-hazm-ring-dove-ms.jpg
parallaxBackgroundImage: 'assets/img/ibn-hazm-ring-dove-ms.jpg'
---
</v>
      </c>
      <c r="T5" t="str">
        <f t="shared" si="10"/>
        <v xml:space="preserve"># Interreligiöse Begegnungen und Debatten auf Arabisch vom 11. bis zum 14. Jahrhundert
{: .r-fit-text}
### Was hat Ibn Hazm über die Bibel geschrieben?
Sommersemester 2025
Prof. Dr. Nathan Gibson
## 📈 Rückblick: Lernziel
## 📈 Rückblick: 
## Projekt
## Einleitung
## Heutiges Lernziel
</v>
      </c>
      <c r="U5" t="str">
        <f t="shared" si="11"/>
        <v xml:space="preserve">
## Lektüre
## Diskussion
## Vorschau
Was ist die Argumentationsanalyse?</v>
      </c>
      <c r="V5" t="str">
        <f t="shared" si="12"/>
        <v>---
layout: reveal
title: 'Was hat Ibn Hazm über die Bibel geschrieben?'
author: 'Nathan Gibson'
session: 4
tags: [4,slides]
category: slides
image: ibn-hazm-ring-dove-ms.jpg
parallaxBackgroundImage: 'assets/img/ibn-hazm-ring-dove-ms.jpg'
---
# Interreligiöse Begegnungen und Debatten auf Arabisch vom 11. bis zum 14. Jahrhundert
{: .r-fit-text}
### Was hat Ibn Hazm über die Bibel geschrieben?
Sommersemester 2025
Prof. Dr. Nathan Gibson
## 📈 Rückblick: Lernziel
## 📈 Rückblick: 
## Projekt
## Einleitung
## Heutiges Lernziel
## Lektüre
## Diskussion
## Vorschau
Was ist die Argumentationsanalyse?</v>
      </c>
    </row>
    <row r="6" spans="1:22" ht="18" customHeight="1" x14ac:dyDescent="0.2">
      <c r="B6" s="3">
        <v>5</v>
      </c>
      <c r="C6" s="8">
        <v>45974</v>
      </c>
      <c r="D6" s="4" t="str">
        <f t="shared" si="0"/>
        <v>2025-11-13-5.md</v>
      </c>
      <c r="E6" s="11" t="s">
        <v>74</v>
      </c>
      <c r="F6" s="4" t="s">
        <v>50</v>
      </c>
      <c r="G6" s="4" t="s">
        <v>36</v>
      </c>
      <c r="H6" s="7" t="s">
        <v>24</v>
      </c>
      <c r="I6" t="str">
        <f t="shared" si="4"/>
        <v>5. Muslimisch-jüdischer Austausch: Argumentationsanalyse</v>
      </c>
      <c r="J6" s="3">
        <f t="shared" si="1"/>
        <v>5</v>
      </c>
      <c r="K6" t="s">
        <v>60</v>
      </c>
      <c r="L6" t="str">
        <f t="shared" si="5"/>
        <v>5-Argumentationsanalyse</v>
      </c>
      <c r="N6" s="9"/>
      <c r="P6" t="str">
        <f t="shared" si="6"/>
        <v>[5]</v>
      </c>
      <c r="Q6" t="str">
        <f t="shared" si="7"/>
        <v>---
layout: post
session: 5
tags: [5]
level: overview
---</v>
      </c>
      <c r="R6" t="str">
        <f t="shared" si="8"/>
        <v>2025-11-13-5-slides.md</v>
      </c>
      <c r="S6" t="str">
        <f t="shared" si="9"/>
        <v xml:space="preserve">---
layout: reveal
title: 'Was ist die Argumentationsanalyse?'
author: 'Nathan Gibson'
session: 5
tags: [5,slides]
category: slides
image: argumentation-speech-bubbles.jpg
parallaxBackgroundImage: 'assets/img/argumentation-speech-bubbles.jpg'
---
</v>
      </c>
      <c r="T6" t="str">
        <f t="shared" si="10"/>
        <v xml:space="preserve"># Interreligiöse Begegnungen und Debatten auf Arabisch vom 11. bis zum 14. Jahrhundert
{: .r-fit-text}
### Was ist die Argumentationsanalyse?
Sommersemester 2025
Prof. Dr. Nathan Gibson
## 📈 Rückblick: Lernziel
## 📈 Rückblick: 
## Projekt
## Einleitung
## Heutiges Lernziel
</v>
      </c>
      <c r="U6" t="str">
        <f t="shared" si="11"/>
        <v xml:space="preserve">
## Lektüre
## Diskussion
## Vorschau
Übung: Argumentationsanalyse von Ibn Hazm mit Close Reading</v>
      </c>
      <c r="V6" t="str">
        <f t="shared" si="12"/>
        <v>---
layout: reveal
title: 'Was ist die Argumentationsanalyse?'
author: 'Nathan Gibson'
session: 5
tags: [5,slides]
category: slides
image: argumentation-speech-bubbles.jpg
parallaxBackgroundImage: 'assets/img/argumentation-speech-bubbles.jpg'
---
# Interreligiöse Begegnungen und Debatten auf Arabisch vom 11. bis zum 14. Jahrhundert
{: .r-fit-text}
### Was ist die Argumentationsanalyse?
Sommersemester 2025
Prof. Dr. Nathan Gibson
## 📈 Rückblick: Lernziel
## 📈 Rückblick: 
## Projekt
## Einleitung
## Heutiges Lernziel
## Lektüre
## Diskussion
## Vorschau
Übung: Argumentationsanalyse von Ibn Hazm mit Close Reading</v>
      </c>
    </row>
    <row r="7" spans="1:22" ht="18" customHeight="1" x14ac:dyDescent="0.2">
      <c r="B7" s="3">
        <v>6</v>
      </c>
      <c r="C7" s="8">
        <v>45981</v>
      </c>
      <c r="D7" s="4" t="str">
        <f t="shared" si="0"/>
        <v>2025-11-20-6.md</v>
      </c>
      <c r="E7" s="11" t="s">
        <v>74</v>
      </c>
      <c r="F7" s="4" t="s">
        <v>51</v>
      </c>
      <c r="G7" s="4" t="s">
        <v>37</v>
      </c>
      <c r="H7" s="7"/>
      <c r="I7" t="str">
        <f t="shared" si="4"/>
        <v>6. Muslimisch-jüdischer Austausch: Ibn Ḥazm: Argumentationsanalyse</v>
      </c>
      <c r="J7" s="3">
        <f t="shared" si="1"/>
        <v>6</v>
      </c>
      <c r="K7" t="s">
        <v>62</v>
      </c>
      <c r="L7" t="str">
        <f t="shared" si="5"/>
        <v>6-Ibn-Ḥazm-Argumentationsanalyse</v>
      </c>
      <c r="N7" s="9"/>
      <c r="P7" t="str">
        <f t="shared" si="6"/>
        <v>[6]</v>
      </c>
      <c r="Q7" t="str">
        <f t="shared" si="7"/>
        <v>---
layout: post
session: 6
tags: [6]
level: overview
---</v>
      </c>
      <c r="R7" t="str">
        <f t="shared" si="8"/>
        <v>2025-11-20-6-slides.md</v>
      </c>
      <c r="S7" t="str">
        <f t="shared" si="9"/>
        <v xml:space="preserve">---
layout: reveal
title: 'Übung: Argumentationsanalyse von Ibn Hazm mit Close Reading'
author: 'Nathan Gibson'
session: 6
tags: [6,slides]
category: slides
image: cordoba-building.jpg
parallaxBackgroundImage: 'assets/img/cordoba-building.jpg'
---
</v>
      </c>
      <c r="T7" t="str">
        <f t="shared" si="10"/>
        <v xml:space="preserve"># Interreligiöse Begegnungen und Debatten auf Arabisch vom 11. bis zum 14. Jahrhundert
{: .r-fit-text}
### Übung: Argumentationsanalyse von Ibn Hazm mit Close Reading
Sommersemester 2025
Prof. Dr. Nathan Gibson
## 📈 Rückblick: Lernziel
## 📈 Rückblick: 
## Projekt
## Einleitung
## Heutiges Lernziel
</v>
      </c>
      <c r="U7" t="str">
        <f t="shared" si="11"/>
        <v xml:space="preserve">
## Lektüre
## Diskussion
## Vorschau
Wie wurde aus jüdischer Seite auf Ibn Hazm geantwortet?</v>
      </c>
      <c r="V7" t="str">
        <f t="shared" si="12"/>
        <v>---
layout: reveal
title: 'Übung: Argumentationsanalyse von Ibn Hazm mit Close Reading'
author: 'Nathan Gibson'
session: 6
tags: [6,slides]
category: slides
image: cordoba-building.jpg
parallaxBackgroundImage: 'assets/img/cordoba-building.jpg'
---
# Interreligiöse Begegnungen und Debatten auf Arabisch vom 11. bis zum 14. Jahrhundert
{: .r-fit-text}
### Übung: Argumentationsanalyse von Ibn Hazm mit Close Reading
Sommersemester 2025
Prof. Dr. Nathan Gibson
## 📈 Rückblick: Lernziel
## 📈 Rückblick: 
## Projekt
## Einleitung
## Heutiges Lernziel
## Lektüre
## Diskussion
## Vorschau
Wie wurde aus jüdischer Seite auf Ibn Hazm geantwortet?</v>
      </c>
    </row>
    <row r="8" spans="1:22" ht="18" customHeight="1" x14ac:dyDescent="0.2">
      <c r="B8" s="3">
        <v>7</v>
      </c>
      <c r="C8" s="8">
        <v>45988</v>
      </c>
      <c r="D8" s="4" t="str">
        <f t="shared" si="0"/>
        <v>2025-11-27-7.md</v>
      </c>
      <c r="E8" s="11" t="s">
        <v>74</v>
      </c>
      <c r="F8" s="4" t="s">
        <v>52</v>
      </c>
      <c r="G8" s="4" t="s">
        <v>38</v>
      </c>
      <c r="H8" s="7" t="s">
        <v>21</v>
      </c>
      <c r="I8" t="str">
        <f t="shared" si="4"/>
        <v>7. Muslimisch-jüdischer Austausch: Salomo ibn Adret: Text</v>
      </c>
      <c r="J8" s="3">
        <f t="shared" si="1"/>
        <v>7</v>
      </c>
      <c r="K8" t="s">
        <v>63</v>
      </c>
      <c r="L8" t="str">
        <f t="shared" si="5"/>
        <v>7-Salomo-ibn-Adret-Text</v>
      </c>
      <c r="N8" s="9"/>
      <c r="P8" t="str">
        <f t="shared" si="6"/>
        <v>[7]</v>
      </c>
      <c r="Q8" t="str">
        <f t="shared" si="7"/>
        <v>---
layout: post
session: 7
tags: [7]
level: overview
---</v>
      </c>
      <c r="R8" t="str">
        <f t="shared" si="8"/>
        <v>2025-11-27-7-slides.md</v>
      </c>
      <c r="S8" t="str">
        <f t="shared" si="9"/>
        <v xml:space="preserve">---
layout: reveal
title: 'Wie wurde aus jüdischer Seite auf Ibn Hazm geantwortet?'
author: 'Nathan Gibson'
session: 7
tags: [7,slides]
category: slides
image: cordoba-synagogue-inscription.jpg
parallaxBackgroundImage: 'assets/img/cordoba-synagogue-inscription.jpg'
---
</v>
      </c>
      <c r="T8" t="str">
        <f t="shared" si="10"/>
        <v xml:space="preserve"># Interreligiöse Begegnungen und Debatten auf Arabisch vom 11. bis zum 14. Jahrhundert
{: .r-fit-text}
### Wie wurde aus jüdischer Seite auf Ibn Hazm geantwortet?
Sommersemester 2025
Prof. Dr. Nathan Gibson
## 📈 Rückblick: Lernziel
## 📈 Rückblick: 
## Projekt
## Einleitung
## Heutiges Lernziel
</v>
      </c>
      <c r="U8" t="str">
        <f t="shared" si="11"/>
        <v xml:space="preserve">
## Lektüre
## Diskussion
## Vorschau
Übung: Argumentationsanalyse vom jüdischen Text mit Close Reading</v>
      </c>
      <c r="V8" t="str">
        <f t="shared" si="12"/>
        <v>---
layout: reveal
title: 'Wie wurde aus jüdischer Seite auf Ibn Hazm geantwortet?'
author: 'Nathan Gibson'
session: 7
tags: [7,slides]
category: slides
image: cordoba-synagogue-inscription.jpg
parallaxBackgroundImage: 'assets/img/cordoba-synagogue-inscription.jpg'
---
# Interreligiöse Begegnungen und Debatten auf Arabisch vom 11. bis zum 14. Jahrhundert
{: .r-fit-text}
### Wie wurde aus jüdischer Seite auf Ibn Hazm geantwortet?
Sommersemester 2025
Prof. Dr. Nathan Gibson
## 📈 Rückblick: Lernziel
## 📈 Rückblick: 
## Projekt
## Einleitung
## Heutiges Lernziel
## Lektüre
## Diskussion
## Vorschau
Übung: Argumentationsanalyse vom jüdischen Text mit Close Reading</v>
      </c>
    </row>
    <row r="9" spans="1:22" ht="18" customHeight="1" x14ac:dyDescent="0.2">
      <c r="B9" s="3">
        <v>8</v>
      </c>
      <c r="C9" s="8">
        <v>45995</v>
      </c>
      <c r="D9" s="4" t="str">
        <f t="shared" si="0"/>
        <v>2025-12-04-8.md</v>
      </c>
      <c r="E9" s="11" t="s">
        <v>74</v>
      </c>
      <c r="F9" s="4" t="s">
        <v>53</v>
      </c>
      <c r="G9" s="4" t="s">
        <v>39</v>
      </c>
      <c r="H9" s="7" t="s">
        <v>22</v>
      </c>
      <c r="I9" t="str">
        <f t="shared" si="4"/>
        <v>8. Muslimisch-jüdischer Austausch: Salomo ibn Adret: Argumentationsanalyse</v>
      </c>
      <c r="J9" s="3">
        <f t="shared" si="1"/>
        <v>8</v>
      </c>
      <c r="K9" t="s">
        <v>59</v>
      </c>
      <c r="L9" t="str">
        <f t="shared" si="5"/>
        <v>8-Salomo-ibn-Adret-Argumentationsanalyse</v>
      </c>
      <c r="N9" s="9"/>
      <c r="P9" t="str">
        <f t="shared" si="6"/>
        <v>[8]</v>
      </c>
      <c r="Q9" t="str">
        <f t="shared" si="7"/>
        <v>---
layout: post
session: 8
tags: [8]
level: overview
---</v>
      </c>
      <c r="R9" t="str">
        <f t="shared" si="8"/>
        <v>2025-12-04-8-slides.md</v>
      </c>
      <c r="S9" t="str">
        <f t="shared" si="9"/>
        <v xml:space="preserve">---
layout: reveal
title: 'Übung: Argumentationsanalyse vom jüdischen Text mit Close Reading'
author: 'Nathan Gibson'
session: 8
tags: [8,slides]
category: slides
image: andalus-jew-muslim-chess.png
parallaxBackgroundImage: 'assets/img/andalus-jew-muslim-chess.png'
---
</v>
      </c>
      <c r="T9" t="str">
        <f t="shared" si="10"/>
        <v xml:space="preserve"># Interreligiöse Begegnungen und Debatten auf Arabisch vom 11. bis zum 14. Jahrhundert
{: .r-fit-text}
### Übung: Argumentationsanalyse vom jüdischen Text mit Close Reading
Sommersemester 2025
Prof. Dr. Nathan Gibson
## 📈 Rückblick: Lernziel
## 📈 Rückblick: 
## Projekt
## Einleitung
## Heutiges Lernziel
</v>
      </c>
      <c r="U9" t="str">
        <f t="shared" si="11"/>
        <v xml:space="preserve">
## Lektüre
## Diskussion
## Vorschau
Was ist der “Brief aus Zypern”?</v>
      </c>
      <c r="V9" t="str">
        <f t="shared" si="12"/>
        <v>---
layout: reveal
title: 'Übung: Argumentationsanalyse vom jüdischen Text mit Close Reading'
author: 'Nathan Gibson'
session: 8
tags: [8,slides]
category: slides
image: andalus-jew-muslim-chess.png
parallaxBackgroundImage: 'assets/img/andalus-jew-muslim-chess.png'
---
# Interreligiöse Begegnungen und Debatten auf Arabisch vom 11. bis zum 14. Jahrhundert
{: .r-fit-text}
### Übung: Argumentationsanalyse vom jüdischen Text mit Close Reading
Sommersemester 2025
Prof. Dr. Nathan Gibson
## 📈 Rückblick: Lernziel
## 📈 Rückblick: 
## Projekt
## Einleitung
## Heutiges Lernziel
## Lektüre
## Diskussion
## Vorschau
Was ist der “Brief aus Zypern”?</v>
      </c>
    </row>
    <row r="10" spans="1:22" ht="18" customHeight="1" x14ac:dyDescent="0.2">
      <c r="B10" s="3">
        <v>9</v>
      </c>
      <c r="C10" s="8">
        <v>46002</v>
      </c>
      <c r="D10" s="4" t="str">
        <f t="shared" si="0"/>
        <v>2025-12-11-9.md</v>
      </c>
      <c r="E10" s="10" t="s">
        <v>75</v>
      </c>
      <c r="F10" s="4" t="s">
        <v>54</v>
      </c>
      <c r="G10" s="4" t="s">
        <v>40</v>
      </c>
      <c r="H10" s="7"/>
      <c r="I10" t="str">
        <f t="shared" si="4"/>
        <v>9. Christlich-muslimischer Austausch: Brief aus Zypern</v>
      </c>
      <c r="J10" s="3">
        <f t="shared" si="1"/>
        <v>9</v>
      </c>
      <c r="K10" t="s">
        <v>65</v>
      </c>
      <c r="L10" t="str">
        <f t="shared" si="5"/>
        <v>9-Brief-aus-Zypern</v>
      </c>
      <c r="N10" s="9"/>
      <c r="P10" t="str">
        <f t="shared" si="6"/>
        <v>[9]</v>
      </c>
      <c r="Q10" t="str">
        <f t="shared" si="7"/>
        <v>---
layout: post
session: 9
tags: [9]
level: overview
---</v>
      </c>
      <c r="R10" t="str">
        <f t="shared" si="8"/>
        <v>2025-12-11-9-slides.md</v>
      </c>
      <c r="S10" t="str">
        <f t="shared" si="9"/>
        <v xml:space="preserve">---
layout: reveal
title: 'Was ist der “Brief aus Zypern”?'
author: 'Nathan Gibson'
session: 9
tags: [9,slides]
category: slides
image: cyprus-church.jpg
parallaxBackgroundImage: 'assets/img/cyprus-church.jpg'
---
</v>
      </c>
      <c r="T10" t="str">
        <f t="shared" si="10"/>
        <v xml:space="preserve"># Interreligiöse Begegnungen und Debatten auf Arabisch vom 11. bis zum 14. Jahrhundert
{: .r-fit-text}
### Was ist der “Brief aus Zypern”?
Sommersemester 2025
Prof. Dr. Nathan Gibson
## 📈 Rückblick: Lernziel
## 📈 Rückblick: 
## Projekt
## Einleitung
## Heutiges Lernziel
</v>
      </c>
      <c r="U10" t="str">
        <f t="shared" si="11"/>
        <v xml:space="preserve">
## Lektüre
## Diskussion
## Vorschau
Wie wurde im Brief aus Zypern über den Koran diskutiert?</v>
      </c>
      <c r="V10" t="str">
        <f t="shared" si="12"/>
        <v>---
layout: reveal
title: 'Was ist der “Brief aus Zypern”?'
author: 'Nathan Gibson'
session: 9
tags: [9,slides]
category: slides
image: cyprus-church.jpg
parallaxBackgroundImage: 'assets/img/cyprus-church.jpg'
---
# Interreligiöse Begegnungen und Debatten auf Arabisch vom 11. bis zum 14. Jahrhundert
{: .r-fit-text}
### Was ist der “Brief aus Zypern”?
Sommersemester 2025
Prof. Dr. Nathan Gibson
## 📈 Rückblick: Lernziel
## 📈 Rückblick: 
## Projekt
## Einleitung
## Heutiges Lernziel
## Lektüre
## Diskussion
## Vorschau
Wie wurde im Brief aus Zypern über den Koran diskutiert?</v>
      </c>
    </row>
    <row r="11" spans="1:22" ht="18" customHeight="1" x14ac:dyDescent="0.2">
      <c r="B11" s="3">
        <v>10</v>
      </c>
      <c r="C11" s="8">
        <v>46009</v>
      </c>
      <c r="D11" s="4" t="str">
        <f t="shared" si="0"/>
        <v>2025-12-18-10.md</v>
      </c>
      <c r="E11" s="10" t="s">
        <v>75</v>
      </c>
      <c r="F11" s="4" t="s">
        <v>55</v>
      </c>
      <c r="G11" s="4" t="s">
        <v>41</v>
      </c>
      <c r="H11" s="7"/>
      <c r="I11" t="str">
        <f t="shared" si="4"/>
        <v>10. Christlich-muslimischer Austausch: Brief aus Zypern: Text</v>
      </c>
      <c r="J11" s="3">
        <f t="shared" si="1"/>
        <v>10</v>
      </c>
      <c r="K11" t="s">
        <v>66</v>
      </c>
      <c r="L11" t="str">
        <f t="shared" si="5"/>
        <v>10-Brief-aus-Zypern-Text</v>
      </c>
      <c r="N11" s="9"/>
      <c r="P11" t="str">
        <f t="shared" si="6"/>
        <v>[10]</v>
      </c>
      <c r="Q11" t="str">
        <f t="shared" si="7"/>
        <v>---
layout: post
session: 10
tags: [10]
level: overview
---</v>
      </c>
      <c r="R11" t="str">
        <f t="shared" si="8"/>
        <v>2025-12-18-10-slides.md</v>
      </c>
      <c r="S11" t="str">
        <f t="shared" si="9"/>
        <v xml:space="preserve">---
layout: reveal
title: 'Wie wurde im Brief aus Zypern über den Koran diskutiert?'
author: 'Nathan Gibson'
session: 10
tags: [10,slides]
category: slides
image: quran-stand.jpg
parallaxBackgroundImage: 'assets/img/quran-stand.jpg'
---
</v>
      </c>
      <c r="T11" t="str">
        <f t="shared" si="10"/>
        <v xml:space="preserve"># Interreligiöse Begegnungen und Debatten auf Arabisch vom 11. bis zum 14. Jahrhundert
{: .r-fit-text}
### Wie wurde im Brief aus Zypern über den Koran diskutiert?
Sommersemester 2025
Prof. Dr. Nathan Gibson
## 📈 Rückblick: Lernziel
## 📈 Rückblick: 
## Projekt
## Einleitung
## Heutiges Lernziel
</v>
      </c>
      <c r="U11" t="str">
        <f t="shared" si="11"/>
        <v xml:space="preserve">
## Lektüre
## Diskussion
## Vorschau
Übung: Argumentationsanalyse vom Brief aus Zypern mit Close Reading</v>
      </c>
      <c r="V11" t="str">
        <f t="shared" si="12"/>
        <v>---
layout: reveal
title: 'Wie wurde im Brief aus Zypern über den Koran diskutiert?'
author: 'Nathan Gibson'
session: 10
tags: [10,slides]
category: slides
image: quran-stand.jpg
parallaxBackgroundImage: 'assets/img/quran-stand.jpg'
---
# Interreligiöse Begegnungen und Debatten auf Arabisch vom 11. bis zum 14. Jahrhundert
{: .r-fit-text}
### Wie wurde im Brief aus Zypern über den Koran diskutiert?
Sommersemester 2025
Prof. Dr. Nathan Gibson
## 📈 Rückblick: Lernziel
## 📈 Rückblick: 
## Projekt
## Einleitung
## Heutiges Lernziel
## Lektüre
## Diskussion
## Vorschau
Übung: Argumentationsanalyse vom Brief aus Zypern mit Close Reading</v>
      </c>
    </row>
    <row r="12" spans="1:22" ht="18" customHeight="1" x14ac:dyDescent="0.2">
      <c r="B12" s="3">
        <v>11</v>
      </c>
      <c r="C12" s="8">
        <v>46037</v>
      </c>
      <c r="D12" s="4" t="str">
        <f t="shared" si="0"/>
        <v>2026-01-15-11.md</v>
      </c>
      <c r="E12" s="10" t="s">
        <v>75</v>
      </c>
      <c r="F12" s="4" t="s">
        <v>56</v>
      </c>
      <c r="G12" s="4" t="s">
        <v>42</v>
      </c>
      <c r="H12" s="7" t="s">
        <v>23</v>
      </c>
      <c r="I12" t="str">
        <f t="shared" si="4"/>
        <v>11. Christlich-muslimischer Austausch: Brief aus Zypern: Argumentationsanalyse</v>
      </c>
      <c r="J12" s="3">
        <f t="shared" si="1"/>
        <v>11</v>
      </c>
      <c r="K12" t="s">
        <v>67</v>
      </c>
      <c r="L12" t="str">
        <f t="shared" si="5"/>
        <v>11-Brief-aus-Zypern-Argumentationsanalyse</v>
      </c>
      <c r="N12" s="9"/>
      <c r="P12" t="str">
        <f t="shared" si="6"/>
        <v>[11]</v>
      </c>
      <c r="Q12" t="str">
        <f t="shared" si="7"/>
        <v>---
layout: post
session: 11
tags: [11]
level: overview
---</v>
      </c>
      <c r="R12" t="str">
        <f t="shared" si="8"/>
        <v>2026-01-15-11-slides.md</v>
      </c>
      <c r="S12" t="str">
        <f t="shared" si="9"/>
        <v xml:space="preserve">---
layout: reveal
title: 'Übung: Argumentationsanalyse vom Brief aus Zypern mit Close Reading'
author: 'Nathan Gibson'
session: 11
tags: [11,slides]
category: slides
image: speech-bubble.jpg
parallaxBackgroundImage: 'assets/img/speech-bubble.jpg'
---
</v>
      </c>
      <c r="T12" t="str">
        <f t="shared" si="10"/>
        <v xml:space="preserve"># Interreligiöse Begegnungen und Debatten auf Arabisch vom 11. bis zum 14. Jahrhundert
{: .r-fit-text}
### Übung: Argumentationsanalyse vom Brief aus Zypern mit Close Reading
Sommersemester 2025
Prof. Dr. Nathan Gibson
## 📈 Rückblick: Lernziel
## 📈 Rückblick: 
## Projekt
## Einleitung
## Heutiges Lernziel
</v>
      </c>
      <c r="U12" t="str">
        <f t="shared" si="11"/>
        <v xml:space="preserve">
## Lektüre
## Diskussion
## Vorschau
Wer war Ibn Taymiyya? (Gast: Farid Suleima)</v>
      </c>
      <c r="V12" t="str">
        <f t="shared" si="12"/>
        <v>---
layout: reveal
title: 'Übung: Argumentationsanalyse vom Brief aus Zypern mit Close Reading'
author: 'Nathan Gibson'
session: 11
tags: [11,slides]
category: slides
image: speech-bubble.jpg
parallaxBackgroundImage: 'assets/img/speech-bubble.jpg'
---
# Interreligiöse Begegnungen und Debatten auf Arabisch vom 11. bis zum 14. Jahrhundert
{: .r-fit-text}
### Übung: Argumentationsanalyse vom Brief aus Zypern mit Close Reading
Sommersemester 2025
Prof. Dr. Nathan Gibson
## 📈 Rückblick: Lernziel
## 📈 Rückblick: 
## Projekt
## Einleitung
## Heutiges Lernziel
## Lektüre
## Diskussion
## Vorschau
Wer war Ibn Taymiyya? (Gast: Farid Suleima)</v>
      </c>
    </row>
    <row r="13" spans="1:22" ht="18" customHeight="1" x14ac:dyDescent="0.2">
      <c r="B13" s="3">
        <v>12</v>
      </c>
      <c r="C13" s="8">
        <v>46044</v>
      </c>
      <c r="D13" s="4" t="str">
        <f t="shared" si="0"/>
        <v>2026-01-22-12.md</v>
      </c>
      <c r="E13" s="10" t="s">
        <v>75</v>
      </c>
      <c r="F13" s="4" t="s">
        <v>30</v>
      </c>
      <c r="G13" s="4" t="s">
        <v>43</v>
      </c>
      <c r="H13" s="7"/>
      <c r="I13" t="str">
        <f t="shared" si="4"/>
        <v>12. Christlich-muslimischer Austausch: Ibn Taymiyya</v>
      </c>
      <c r="J13" s="3">
        <f t="shared" si="1"/>
        <v>12</v>
      </c>
      <c r="K13" t="s">
        <v>68</v>
      </c>
      <c r="L13" t="str">
        <f t="shared" si="5"/>
        <v>12-Ibn-Taymiyya</v>
      </c>
      <c r="N13" s="9"/>
      <c r="P13" t="str">
        <f t="shared" si="6"/>
        <v>[12]</v>
      </c>
      <c r="Q13" t="str">
        <f t="shared" si="7"/>
        <v>---
layout: post
session: 12
tags: [12]
level: overview
---</v>
      </c>
      <c r="R13" t="str">
        <f t="shared" si="8"/>
        <v>2026-01-22-12-slides.md</v>
      </c>
      <c r="S13" t="str">
        <f t="shared" si="9"/>
        <v xml:space="preserve">---
layout: reveal
title: 'Wer war Ibn Taymiyya? (Gast: Farid Suleima)'
author: 'Nathan Gibson'
session: 12
tags: [12,slides]
category: slides
image: harran-houses.jpg
parallaxBackgroundImage: 'assets/img/harran-houses.jpg'
---
</v>
      </c>
      <c r="T13" t="str">
        <f t="shared" si="10"/>
        <v xml:space="preserve"># Interreligiöse Begegnungen und Debatten auf Arabisch vom 11. bis zum 14. Jahrhundert
{: .r-fit-text}
### Wer war Ibn Taymiyya? (Gast: Farid Suleima)
Sommersemester 2025
Prof. Dr. Nathan Gibson
## 📈 Rückblick: Lernziel
## 📈 Rückblick: 
## Projekt
## Einleitung
## Heutiges Lernziel
</v>
      </c>
      <c r="U13" t="str">
        <f t="shared" si="11"/>
        <v xml:space="preserve">
## Lektüre
## Diskussion
## Vorschau
Wie hat Ibn Taymiyya auf den Brief aus Zypern geantwortet?</v>
      </c>
      <c r="V13" t="str">
        <f t="shared" si="12"/>
        <v>---
layout: reveal
title: 'Wer war Ibn Taymiyya? (Gast: Farid Suleima)'
author: 'Nathan Gibson'
session: 12
tags: [12,slides]
category: slides
image: harran-houses.jpg
parallaxBackgroundImage: 'assets/img/harran-houses.jpg'
---
# Interreligiöse Begegnungen und Debatten auf Arabisch vom 11. bis zum 14. Jahrhundert
{: .r-fit-text}
### Wer war Ibn Taymiyya? (Gast: Farid Suleima)
Sommersemester 2025
Prof. Dr. Nathan Gibson
## 📈 Rückblick: Lernziel
## 📈 Rückblick: 
## Projekt
## Einleitung
## Heutiges Lernziel
## Lektüre
## Diskussion
## Vorschau
Wie hat Ibn Taymiyya auf den Brief aus Zypern geantwortet?</v>
      </c>
    </row>
    <row r="14" spans="1:22" ht="18" customHeight="1" x14ac:dyDescent="0.2">
      <c r="B14" s="3">
        <v>13</v>
      </c>
      <c r="C14" s="8">
        <v>46051</v>
      </c>
      <c r="D14" s="4" t="str">
        <f t="shared" si="0"/>
        <v>2026-01-29-13.md</v>
      </c>
      <c r="E14" s="10" t="s">
        <v>75</v>
      </c>
      <c r="F14" s="4" t="s">
        <v>57</v>
      </c>
      <c r="G14" s="4" t="s">
        <v>44</v>
      </c>
      <c r="H14" s="7"/>
      <c r="I14" t="str">
        <f t="shared" si="4"/>
        <v>13. Christlich-muslimischer Austausch: Ibn Taymiyya: Text</v>
      </c>
      <c r="J14" s="3">
        <f t="shared" si="1"/>
        <v>13</v>
      </c>
      <c r="K14" t="s">
        <v>73</v>
      </c>
      <c r="L14" t="str">
        <f t="shared" si="5"/>
        <v>13-Ibn-Taymiyya-Text</v>
      </c>
      <c r="N14" s="9"/>
      <c r="P14" t="str">
        <f t="shared" si="6"/>
        <v>[13]</v>
      </c>
      <c r="Q14" t="str">
        <f t="shared" si="7"/>
        <v>---
layout: post
session: 13
tags: [13]
level: overview
---</v>
      </c>
      <c r="R14" t="str">
        <f t="shared" si="8"/>
        <v>2026-01-29-13-slides.md</v>
      </c>
      <c r="S14" t="str">
        <f t="shared" si="9"/>
        <v xml:space="preserve">---
layout: reveal
title: 'Wie hat Ibn Taymiyya auf den Brief aus Zypern geantwortet?'
author: 'Nathan Gibson'
session: 13
tags: [13,slides]
category: slides
image: damascus-citadel.jpg
parallaxBackgroundImage: 'assets/img/damascus-citadel.jpg'
---
</v>
      </c>
      <c r="T14" t="str">
        <f t="shared" si="10"/>
        <v xml:space="preserve"># Interreligiöse Begegnungen und Debatten auf Arabisch vom 11. bis zum 14. Jahrhundert
{: .r-fit-text}
### Wie hat Ibn Taymiyya auf den Brief aus Zypern geantwortet?
Sommersemester 2025
Prof. Dr. Nathan Gibson
## 📈 Rückblick: Lernziel
## 📈 Rückblick: 
## Projekt
## Einleitung
## Heutiges Lernziel
</v>
      </c>
      <c r="U14" t="str">
        <f t="shared" si="11"/>
        <v xml:space="preserve">
## Lektüre
## Diskussion
## Vorschau
Rückblick und Lehrevaluation</v>
      </c>
      <c r="V14" t="str">
        <f t="shared" si="12"/>
        <v>---
layout: reveal
title: 'Wie hat Ibn Taymiyya auf den Brief aus Zypern geantwortet?'
author: 'Nathan Gibson'
session: 13
tags: [13,slides]
category: slides
image: damascus-citadel.jpg
parallaxBackgroundImage: 'assets/img/damascus-citadel.jpg'
---
# Interreligiöse Begegnungen und Debatten auf Arabisch vom 11. bis zum 14. Jahrhundert
{: .r-fit-text}
### Wie hat Ibn Taymiyya auf den Brief aus Zypern geantwortet?
Sommersemester 2025
Prof. Dr. Nathan Gibson
## 📈 Rückblick: Lernziel
## 📈 Rückblick: 
## Projekt
## Einleitung
## Heutiges Lernziel
## Lektüre
## Diskussion
## Vorschau
Rückblick und Lehrevaluation</v>
      </c>
    </row>
    <row r="15" spans="1:22" ht="18" customHeight="1" x14ac:dyDescent="0.2">
      <c r="B15" s="3">
        <v>14</v>
      </c>
      <c r="C15" s="8">
        <v>46058</v>
      </c>
      <c r="D15" s="4" t="str">
        <f t="shared" si="0"/>
        <v>2026-02-05-14.md</v>
      </c>
      <c r="E15" s="10" t="s">
        <v>31</v>
      </c>
      <c r="F15" s="4" t="s">
        <v>17</v>
      </c>
      <c r="G15" s="4" t="s">
        <v>45</v>
      </c>
      <c r="H15" s="7"/>
      <c r="I15" t="str">
        <f t="shared" si="4"/>
        <v>14. Abschluss: Rückblick</v>
      </c>
      <c r="J15" s="3">
        <f t="shared" si="1"/>
        <v>14</v>
      </c>
      <c r="K15" t="s">
        <v>70</v>
      </c>
      <c r="L15" t="str">
        <f t="shared" si="5"/>
        <v>14-Rückblick</v>
      </c>
      <c r="N15" s="9"/>
      <c r="P15" t="str">
        <f t="shared" si="6"/>
        <v>[14]</v>
      </c>
      <c r="Q15" t="str">
        <f t="shared" si="7"/>
        <v>---
layout: post
session: 14
tags: [14]
level: overview
---</v>
      </c>
      <c r="R15" t="str">
        <f t="shared" si="8"/>
        <v>2026-02-05-14-slides.md</v>
      </c>
      <c r="S15" t="str">
        <f t="shared" si="9"/>
        <v xml:space="preserve">---
layout: reveal
title: 'Rückblick und Lehrevaluation'
author: 'Nathan Gibson'
session: 14
tags: [14,slides]
category: slides
image: argument-hands.jpg
parallaxBackgroundImage: 'assets/img/argument-hands.jpg'
---
</v>
      </c>
      <c r="T15" t="str">
        <f t="shared" si="10"/>
        <v xml:space="preserve"># Interreligiöse Begegnungen und Debatten auf Arabisch vom 11. bis zum 14. Jahrhundert
{: .r-fit-text}
### Rückblick und Lehrevaluation
Sommersemester 2025
Prof. Dr. Nathan Gibson
## 📈 Rückblick: Lernziel
## 📈 Rückblick: 
## Projekt
## Einleitung
## Heutiges Lernziel
</v>
      </c>
      <c r="U15" t="str">
        <f t="shared" si="11"/>
        <v xml:space="preserve">
## Lektüre
## Diskussion
## Vorschau
Übung: Argumentationsanalyse von Ibn Taymiyya mit Close Reading</v>
      </c>
      <c r="V15" t="str">
        <f t="shared" si="12"/>
        <v>---
layout: reveal
title: 'Rückblick und Lehrevaluation'
author: 'Nathan Gibson'
session: 14
tags: [14,slides]
category: slides
image: argument-hands.jpg
parallaxBackgroundImage: 'assets/img/argument-hands.jpg'
---
# Interreligiöse Begegnungen und Debatten auf Arabisch vom 11. bis zum 14. Jahrhundert
{: .r-fit-text}
### Rückblick und Lehrevaluation
Sommersemester 2025
Prof. Dr. Nathan Gibson
## 📈 Rückblick: Lernziel
## 📈 Rückblick: 
## Projekt
## Einleitung
## Heutiges Lernziel
## Lektüre
## Diskussion
## Vorschau
Übung: Argumentationsanalyse von Ibn Taymiyya mit Close Reading</v>
      </c>
    </row>
    <row r="16" spans="1:22" ht="18" customHeight="1" x14ac:dyDescent="0.2">
      <c r="B16" s="3">
        <v>15</v>
      </c>
      <c r="C16" s="8">
        <v>46065</v>
      </c>
      <c r="D16" s="4" t="str">
        <f t="shared" si="0"/>
        <v>2026-02-12-15.md</v>
      </c>
      <c r="E16" s="10" t="s">
        <v>31</v>
      </c>
      <c r="F16" s="4" t="s">
        <v>58</v>
      </c>
      <c r="G16" s="4" t="s">
        <v>46</v>
      </c>
      <c r="H16" s="7"/>
      <c r="I16" t="str">
        <f t="shared" si="4"/>
        <v>15. Abschluss: Ibn Taymiyya: Argumentationsanalyse</v>
      </c>
      <c r="J16" s="3">
        <f t="shared" si="1"/>
        <v>15</v>
      </c>
      <c r="K16" t="s">
        <v>69</v>
      </c>
      <c r="L16" t="str">
        <f t="shared" si="5"/>
        <v>15-Ibn-Taymiyya-Argumentationsanalyse</v>
      </c>
      <c r="N16" s="9"/>
      <c r="P16" t="str">
        <f t="shared" si="6"/>
        <v>[15]</v>
      </c>
      <c r="Q16" t="str">
        <f t="shared" si="7"/>
        <v>---
layout: post
session: 15
tags: [15]
level: overview
---</v>
      </c>
      <c r="R16" t="str">
        <f t="shared" si="8"/>
        <v>2026-02-12-15-slides.md</v>
      </c>
      <c r="S16" t="str">
        <f t="shared" si="9"/>
        <v xml:space="preserve">---
layout: reveal
title: 'Übung: Argumentationsanalyse von Ibn Taymiyya mit Close Reading'
author: 'Nathan Gibson'
session: 15
tags: [15,slides]
category: slides
image: damascus-mosque-gate.jpg
parallaxBackgroundImage: 'assets/img/damascus-mosque-gate.jpg'
---
</v>
      </c>
      <c r="T16" t="str">
        <f t="shared" si="10"/>
        <v xml:space="preserve"># Interreligiöse Begegnungen und Debatten auf Arabisch vom 11. bis zum 14. Jahrhundert
{: .r-fit-text}
### Übung: Argumentationsanalyse von Ibn Taymiyya mit Close Reading
Sommersemester 2025
Prof. Dr. Nathan Gibson
## 📈 Rückblick: Lernziel
## 📈 Rückblick: 
## Projekt
## Einleitung
## Heutiges Lernziel
</v>
      </c>
      <c r="U16" t="str">
        <f t="shared" si="11"/>
        <v xml:space="preserve">
## Lektüre
## Diskussion
## Vorschau
</v>
      </c>
      <c r="V16" t="str">
        <f t="shared" si="12"/>
        <v xml:space="preserve">---
layout: reveal
title: 'Übung: Argumentationsanalyse von Ibn Taymiyya mit Close Reading'
author: 'Nathan Gibson'
session: 15
tags: [15,slides]
category: slides
image: damascus-mosque-gate.jpg
parallaxBackgroundImage: 'assets/img/damascus-mosque-gate.jpg'
---
# Interreligiöse Begegnungen und Debatten auf Arabisch vom 11. bis zum 14. Jahrhundert
{: .r-fit-text}
### Übung: Argumentationsanalyse von Ibn Taymiyya mit Close Reading
Sommersemester 2025
Prof. Dr. Nathan Gibson
## 📈 Rückblick: Lernziel
## 📈 Rückblick: 
## Projekt
## Einleitung
## Heutiges Lernziel
## Lektüre
## Diskussion
## Vorschau
</v>
      </c>
    </row>
    <row r="17" spans="5:10" x14ac:dyDescent="0.2">
      <c r="E17" s="10"/>
      <c r="F17" s="4"/>
    </row>
    <row r="18" spans="5:10" x14ac:dyDescent="0.2">
      <c r="J18"/>
    </row>
    <row r="19" spans="5:10" x14ac:dyDescent="0.2">
      <c r="J19"/>
    </row>
    <row r="20" spans="5:10" x14ac:dyDescent="0.2">
      <c r="J20"/>
    </row>
    <row r="21" spans="5:10" x14ac:dyDescent="0.2">
      <c r="J21"/>
    </row>
    <row r="22" spans="5:10" x14ac:dyDescent="0.2">
      <c r="J22"/>
    </row>
    <row r="23" spans="5:10" x14ac:dyDescent="0.2">
      <c r="J23"/>
    </row>
    <row r="24" spans="5:10" x14ac:dyDescent="0.2">
      <c r="J24"/>
    </row>
    <row r="25" spans="5:10" x14ac:dyDescent="0.2">
      <c r="J25"/>
    </row>
    <row r="26" spans="5:10" x14ac:dyDescent="0.2">
      <c r="J26"/>
    </row>
    <row r="27" spans="5:10" x14ac:dyDescent="0.2">
      <c r="J27"/>
    </row>
    <row r="28" spans="5:10" x14ac:dyDescent="0.2">
      <c r="J28"/>
    </row>
    <row r="29" spans="5:10" x14ac:dyDescent="0.2">
      <c r="J29"/>
    </row>
    <row r="30" spans="5:10" x14ac:dyDescent="0.2">
      <c r="J30"/>
    </row>
    <row r="31" spans="5:10" x14ac:dyDescent="0.2">
      <c r="J31"/>
    </row>
  </sheetData>
  <pageMargins left="0.7" right="0.7" top="0.75" bottom="0.75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Paul Gibson</cp:lastModifiedBy>
  <cp:lastPrinted>2024-04-18T12:58:24Z</cp:lastPrinted>
  <dcterms:created xsi:type="dcterms:W3CDTF">2023-10-09T09:26:31Z</dcterms:created>
  <dcterms:modified xsi:type="dcterms:W3CDTF">2025-10-16T08:16:53Z</dcterms:modified>
</cp:coreProperties>
</file>